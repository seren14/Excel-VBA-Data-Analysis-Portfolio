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heet1" sheetId="1" r:id="rId5"/>
    <sheet state="visible" name="Original data" sheetId="2" r:id="rId6"/>
  </sheets>
  <definedNames>
    <definedName localSheetId="0" name="Code">Sheet1!$H$4</definedName>
    <definedName name="rate">Sheet1!$G$4:$H$6</definedName>
  </definedNames>
  <calcPr/>
  <extLst>
    <ext uri="GoogleSheetsCustomDataVersion2">
      <go:sheetsCustomData xmlns:go="http://customooxmlschemas.google.com/" r:id="rId7" roundtripDataChecksum="tSjYN2BOicRgZwtcSSxTw57cyCW5qHgIiT9xhOXdco8="/>
    </ext>
  </extLst>
</workbook>
</file>

<file path=xl/sharedStrings.xml><?xml version="1.0" encoding="utf-8"?>
<sst xmlns="http://schemas.openxmlformats.org/spreadsheetml/2006/main" count="102" uniqueCount="24">
  <si>
    <t>System No.</t>
  </si>
  <si>
    <t>Date &amp; time</t>
  </si>
  <si>
    <t>Malfunction length (minutes)</t>
  </si>
  <si>
    <t>Code</t>
  </si>
  <si>
    <t>Reason</t>
  </si>
  <si>
    <t>41-H</t>
  </si>
  <si>
    <t>Reference</t>
  </si>
  <si>
    <t>73-U</t>
  </si>
  <si>
    <t>75-J</t>
  </si>
  <si>
    <t>System reset required</t>
  </si>
  <si>
    <t>13-P</t>
  </si>
  <si>
    <t>Hardware malfunction</t>
  </si>
  <si>
    <t>8-R</t>
  </si>
  <si>
    <t>Software malfunction</t>
  </si>
  <si>
    <t>26-Y</t>
  </si>
  <si>
    <t>Total number of malfunctions:</t>
  </si>
  <si>
    <t>Total time of malfunctions:</t>
  </si>
  <si>
    <t>minutes</t>
  </si>
  <si>
    <t>Code:</t>
  </si>
  <si>
    <t>Total number of malfunctions with this code:</t>
  </si>
  <si>
    <t>Total malfunction time for this code:</t>
  </si>
  <si>
    <t>IMPORTANT: Don't change the location of any</t>
  </si>
  <si>
    <t>of the cells in columns A through E!</t>
  </si>
  <si>
    <t>Make sure you don't put anything in the two rows below the table!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</si>
</sst>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[$-409]m/d/yy\ h:mm\ AM/PM"/>
  </numFmts>
  <fonts count="5">
    <font>
      <sz val="11.0"/>
      <color theme="1"/>
      <name val="Calibri"/>
      <scheme val="minor"/>
    </font>
    <font>
      <b/>
      <sz val="11.0"/>
      <color theme="1"/>
      <name val="Calibri"/>
    </font>
    <font>
      <sz val="11.0"/>
      <color theme="1"/>
      <name val="Calibri"/>
    </font>
    <font>
      <color theme="1"/>
      <name val="Calibri"/>
      <scheme val="minor"/>
    </font>
    <font>
      <b/>
      <u/>
      <sz val="11.0"/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E2EFD9"/>
        <bgColor rgb="FFE2EFD9"/>
      </patternFill>
    </fill>
  </fills>
  <borders count="13">
    <border/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2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1" numFmtId="0" xfId="0" applyFont="1"/>
    <xf borderId="1" fillId="0" fontId="2" numFmtId="0" xfId="0" applyBorder="1" applyFont="1"/>
    <xf borderId="0" fillId="0" fontId="3" numFmtId="0" xfId="0" applyFont="1"/>
    <xf borderId="0" fillId="0" fontId="2" numFmtId="164" xfId="0" applyFont="1" applyNumberFormat="1"/>
    <xf borderId="0" fillId="0" fontId="4" numFmtId="0" xfId="0" applyFont="1"/>
    <xf borderId="0" fillId="0" fontId="3" numFmtId="0" xfId="0" applyFont="1"/>
    <xf borderId="2" fillId="0" fontId="2" numFmtId="0" xfId="0" applyBorder="1" applyFont="1"/>
    <xf borderId="3" fillId="0" fontId="2" numFmtId="0" xfId="0" applyBorder="1" applyFont="1"/>
    <xf borderId="4" fillId="2" fontId="2" numFmtId="0" xfId="0" applyAlignment="1" applyBorder="1" applyFill="1" applyFont="1">
      <alignment readingOrder="0"/>
    </xf>
    <xf borderId="5" fillId="0" fontId="2" numFmtId="0" xfId="0" applyBorder="1" applyFont="1"/>
    <xf borderId="6" fillId="0" fontId="2" numFmtId="0" xfId="0" applyBorder="1" applyFont="1"/>
    <xf borderId="0" fillId="0" fontId="2" numFmtId="0" xfId="0" applyAlignment="1" applyFont="1">
      <alignment horizontal="right"/>
    </xf>
    <xf borderId="7" fillId="3" fontId="2" numFmtId="0" xfId="0" applyBorder="1" applyFill="1" applyFont="1"/>
    <xf borderId="8" fillId="0" fontId="2" numFmtId="0" xfId="0" applyBorder="1" applyFont="1"/>
    <xf borderId="7" fillId="2" fontId="2" numFmtId="0" xfId="0" applyBorder="1" applyFont="1"/>
    <xf borderId="9" fillId="0" fontId="2" numFmtId="0" xfId="0" applyBorder="1" applyFont="1"/>
    <xf borderId="10" fillId="0" fontId="2" numFmtId="0" xfId="0" applyBorder="1" applyFont="1"/>
    <xf borderId="10" fillId="0" fontId="2" numFmtId="0" xfId="0" applyAlignment="1" applyBorder="1" applyFont="1">
      <alignment horizontal="right"/>
    </xf>
    <xf borderId="11" fillId="3" fontId="2" numFmtId="0" xfId="0" applyBorder="1" applyFont="1"/>
    <xf borderId="12" fillId="0" fontId="2" numFmtId="0" xfId="0" applyBorder="1" applyFont="1"/>
    <xf borderId="0" fillId="0" fontId="2" numFmtId="164" xfId="0" applyFont="1" applyNumberFormat="1"/>
    <xf borderId="1" fillId="4" fontId="2" numFmtId="0" xfId="0" applyBorder="1" applyFill="1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</dxfs>
  <tableStyles count="1">
    <tableStyle count="3" pivot="0" name="Sheet1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E26" displayName="Table_1" name="Table_1" id="1">
  <tableColumns count="5">
    <tableColumn name="System No." id="1"/>
    <tableColumn name="Date &amp; time" id="2"/>
    <tableColumn name="Malfunction length (minutes)" id="3"/>
    <tableColumn name="Code" id="4"/>
    <tableColumn name="Reason" id="5"/>
  </tableColumns>
  <tableStyleInfo name="Sheet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11.71"/>
    <col customWidth="1" min="2" max="2" width="15.43"/>
    <col customWidth="1" min="3" max="3" width="27.29"/>
    <col customWidth="1" min="4" max="4" width="8.71"/>
    <col customWidth="1" min="5" max="5" width="18.57"/>
    <col customWidth="1" min="6" max="9" width="8.71"/>
    <col customWidth="1" min="10" max="10" width="9.71"/>
    <col customWidth="1" min="11" max="11" width="9.29"/>
    <col customWidth="1" min="12" max="26" width="8.7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/>
      <c r="G1" s="2"/>
      <c r="J1" s="3"/>
    </row>
    <row r="2" ht="14.25" customHeight="1">
      <c r="A2" s="4" t="s">
        <v>5</v>
      </c>
      <c r="B2" s="5">
        <v>44013.610607480805</v>
      </c>
      <c r="C2" s="4">
        <v>31.0</v>
      </c>
      <c r="D2" s="4">
        <v>3.0</v>
      </c>
      <c r="E2" s="4" t="str">
        <f>VLOOKUP(Sheet1!$D2,rate,2,FALSE)</f>
        <v>Software malfunction</v>
      </c>
      <c r="G2" s="6" t="s">
        <v>6</v>
      </c>
      <c r="H2" s="2"/>
    </row>
    <row r="3" ht="14.25" customHeight="1">
      <c r="A3" s="4" t="s">
        <v>7</v>
      </c>
      <c r="B3" s="5">
        <v>44013.697030848234</v>
      </c>
      <c r="C3" s="4">
        <v>28.0</v>
      </c>
      <c r="D3" s="4">
        <v>2.0</v>
      </c>
      <c r="E3" s="4" t="str">
        <f>VLOOKUP(Sheet1!$D3,rate,2,FALSE)</f>
        <v>Hardware malfunction</v>
      </c>
      <c r="G3" s="2" t="s">
        <v>3</v>
      </c>
      <c r="H3" s="2" t="s">
        <v>4</v>
      </c>
    </row>
    <row r="4" ht="14.25" customHeight="1">
      <c r="A4" s="4" t="s">
        <v>8</v>
      </c>
      <c r="B4" s="5">
        <v>44014.727539334934</v>
      </c>
      <c r="C4" s="4">
        <v>36.0</v>
      </c>
      <c r="D4" s="4">
        <v>3.0</v>
      </c>
      <c r="E4" s="4" t="str">
        <f>VLOOKUP(Sheet1!$D4,rate,2,FALSE)</f>
        <v>Software malfunction</v>
      </c>
      <c r="G4" s="7">
        <v>1.0</v>
      </c>
      <c r="H4" s="7" t="s">
        <v>9</v>
      </c>
    </row>
    <row r="5" ht="14.25" customHeight="1">
      <c r="A5" s="4" t="s">
        <v>10</v>
      </c>
      <c r="B5" s="5">
        <v>44015.75024991805</v>
      </c>
      <c r="C5" s="4">
        <v>71.0</v>
      </c>
      <c r="D5" s="4">
        <v>2.0</v>
      </c>
      <c r="E5" s="4" t="str">
        <f>VLOOKUP(Sheet1!$D5,rate,2,FALSE)</f>
        <v>Hardware malfunction</v>
      </c>
      <c r="G5" s="7">
        <v>2.0</v>
      </c>
      <c r="H5" s="7" t="s">
        <v>11</v>
      </c>
    </row>
    <row r="6" ht="14.25" customHeight="1">
      <c r="A6" s="4" t="s">
        <v>12</v>
      </c>
      <c r="B6" s="5">
        <v>44016.42477991662</v>
      </c>
      <c r="C6" s="4">
        <v>23.0</v>
      </c>
      <c r="D6" s="4">
        <v>3.0</v>
      </c>
      <c r="E6" s="4" t="str">
        <f>VLOOKUP(Sheet1!$D6,rate,2,FALSE)</f>
        <v>Software malfunction</v>
      </c>
      <c r="G6" s="7">
        <v>3.0</v>
      </c>
      <c r="H6" s="7" t="s">
        <v>13</v>
      </c>
    </row>
    <row r="7" ht="14.25" customHeight="1">
      <c r="A7" s="4" t="s">
        <v>14</v>
      </c>
      <c r="B7" s="5">
        <v>44018.130324607344</v>
      </c>
      <c r="C7" s="4">
        <v>46.0</v>
      </c>
      <c r="D7" s="4">
        <v>3.0</v>
      </c>
      <c r="E7" s="4" t="str">
        <f>VLOOKUP(Sheet1!$D7,rate,2,FALSE)</f>
        <v>Software malfunction</v>
      </c>
    </row>
    <row r="8" ht="14.25" customHeight="1">
      <c r="A8" s="4" t="s">
        <v>12</v>
      </c>
      <c r="B8" s="5">
        <v>44018.35165038548</v>
      </c>
      <c r="C8" s="4">
        <v>35.0</v>
      </c>
      <c r="D8" s="4">
        <v>3.0</v>
      </c>
      <c r="E8" s="4" t="str">
        <f>VLOOKUP(Sheet1!$D8,rate,2,FALSE)</f>
        <v>Software malfunction</v>
      </c>
    </row>
    <row r="9" ht="14.25" customHeight="1">
      <c r="A9" s="4" t="s">
        <v>7</v>
      </c>
      <c r="B9" s="5">
        <v>44019.30126058578</v>
      </c>
      <c r="C9" s="4">
        <v>18.0</v>
      </c>
      <c r="D9" s="4">
        <v>1.0</v>
      </c>
      <c r="E9" s="4" t="str">
        <f>VLOOKUP(Sheet1!$D9,rate,2,FALSE)</f>
        <v>System reset required</v>
      </c>
      <c r="G9" s="8"/>
      <c r="H9" s="9"/>
      <c r="I9" s="9"/>
      <c r="J9" s="9" t="s">
        <v>0</v>
      </c>
      <c r="K9" s="10" t="s">
        <v>8</v>
      </c>
      <c r="L9" s="11"/>
    </row>
    <row r="10" ht="14.25" customHeight="1">
      <c r="A10" s="4" t="s">
        <v>14</v>
      </c>
      <c r="B10" s="5">
        <v>44023.14198511887</v>
      </c>
      <c r="C10" s="4">
        <v>9.0</v>
      </c>
      <c r="D10" s="4">
        <v>2.0</v>
      </c>
      <c r="E10" s="4" t="str">
        <f>VLOOKUP(Sheet1!$D10,rate,2,FALSE)</f>
        <v>Hardware malfunction</v>
      </c>
      <c r="G10" s="12"/>
      <c r="J10" s="13" t="s">
        <v>15</v>
      </c>
      <c r="K10" s="14">
        <f>COUNTIFS(Sheet1!$A$2:$A$26,K9,Sheet1!$C$2:$C$26,"&gt;0")</f>
        <v>6</v>
      </c>
      <c r="L10" s="15"/>
    </row>
    <row r="11" ht="14.25" customHeight="1">
      <c r="A11" s="4" t="s">
        <v>10</v>
      </c>
      <c r="B11" s="5">
        <v>44024.28350360022</v>
      </c>
      <c r="C11" s="4">
        <v>41.0</v>
      </c>
      <c r="D11" s="4">
        <v>3.0</v>
      </c>
      <c r="E11" s="4" t="str">
        <f>VLOOKUP(Sheet1!$D11,rate,2,FALSE)</f>
        <v>Software malfunction</v>
      </c>
      <c r="G11" s="12"/>
      <c r="J11" s="13" t="s">
        <v>16</v>
      </c>
      <c r="K11" s="14">
        <f>SUMIF(Sheet1!$A$2:$A$26,K9,Sheet1!$C$2:$C$26)</f>
        <v>140</v>
      </c>
      <c r="L11" s="15" t="s">
        <v>17</v>
      </c>
    </row>
    <row r="12" ht="14.25" customHeight="1">
      <c r="A12" s="4" t="s">
        <v>8</v>
      </c>
      <c r="B12" s="5">
        <v>44025.812112474014</v>
      </c>
      <c r="C12" s="4">
        <v>2.0</v>
      </c>
      <c r="D12" s="4">
        <v>1.0</v>
      </c>
      <c r="E12" s="4" t="str">
        <f>VLOOKUP(Sheet1!$D12,rate,2,FALSE)</f>
        <v>System reset required</v>
      </c>
      <c r="G12" s="12"/>
      <c r="L12" s="15"/>
    </row>
    <row r="13" ht="14.25" customHeight="1">
      <c r="A13" s="4" t="s">
        <v>7</v>
      </c>
      <c r="B13" s="5">
        <v>44025.816915379226</v>
      </c>
      <c r="C13" s="4">
        <v>15.0</v>
      </c>
      <c r="D13" s="4">
        <v>1.0</v>
      </c>
      <c r="E13" s="4" t="str">
        <f>VLOOKUP(Sheet1!$D13,rate,2,FALSE)</f>
        <v>System reset required</v>
      </c>
      <c r="G13" s="12"/>
      <c r="L13" s="15"/>
    </row>
    <row r="14" ht="14.25" customHeight="1">
      <c r="A14" s="4" t="s">
        <v>5</v>
      </c>
      <c r="B14" s="5">
        <v>44025.993782231424</v>
      </c>
      <c r="C14" s="4">
        <v>6.0</v>
      </c>
      <c r="D14" s="4">
        <v>1.0</v>
      </c>
      <c r="E14" s="4" t="str">
        <f>VLOOKUP(Sheet1!$D14,rate,2,FALSE)</f>
        <v>System reset required</v>
      </c>
      <c r="G14" s="12"/>
      <c r="J14" s="13" t="s">
        <v>18</v>
      </c>
      <c r="K14" s="16">
        <v>1.0</v>
      </c>
      <c r="L14" s="15"/>
    </row>
    <row r="15" ht="14.25" customHeight="1">
      <c r="A15" s="4" t="s">
        <v>8</v>
      </c>
      <c r="B15" s="5">
        <v>44026.24913912553</v>
      </c>
      <c r="C15" s="4">
        <v>22.0</v>
      </c>
      <c r="D15" s="4">
        <v>2.0</v>
      </c>
      <c r="E15" s="4" t="str">
        <f>VLOOKUP(Sheet1!$D15,rate,2,FALSE)</f>
        <v>Hardware malfunction</v>
      </c>
      <c r="G15" s="12"/>
      <c r="J15" s="13" t="s">
        <v>19</v>
      </c>
      <c r="K15" s="14">
        <f>COUNTIFS(Sheet1!$D$2:$D$26,K14,Sheet1!$C$2:$C$26,"&gt;0")</f>
        <v>5</v>
      </c>
      <c r="L15" s="15"/>
    </row>
    <row r="16" ht="14.25" customHeight="1">
      <c r="A16" s="4" t="s">
        <v>12</v>
      </c>
      <c r="B16" s="5">
        <v>44026.3450875705</v>
      </c>
      <c r="C16" s="4">
        <v>15.0</v>
      </c>
      <c r="D16" s="4">
        <v>3.0</v>
      </c>
      <c r="E16" s="4" t="str">
        <f>VLOOKUP(Sheet1!$D16,rate,2,FALSE)</f>
        <v>Software malfunction</v>
      </c>
      <c r="G16" s="17"/>
      <c r="H16" s="18"/>
      <c r="I16" s="18"/>
      <c r="J16" s="19" t="s">
        <v>20</v>
      </c>
      <c r="K16" s="20">
        <f>SUMIF(Sheet1!$D$2:$D$26,K14,Sheet1!$C$2:$C$26)</f>
        <v>73</v>
      </c>
      <c r="L16" s="21" t="s">
        <v>17</v>
      </c>
    </row>
    <row r="17" ht="14.25" customHeight="1">
      <c r="A17" s="4" t="s">
        <v>12</v>
      </c>
      <c r="B17" s="5">
        <v>44029.07606533591</v>
      </c>
      <c r="C17" s="4">
        <v>26.0</v>
      </c>
      <c r="D17" s="4">
        <v>2.0</v>
      </c>
      <c r="E17" s="4" t="str">
        <f>VLOOKUP(Sheet1!$D17,rate,2,FALSE)</f>
        <v>Hardware malfunction</v>
      </c>
    </row>
    <row r="18" ht="14.25" customHeight="1">
      <c r="A18" s="4" t="s">
        <v>8</v>
      </c>
      <c r="B18" s="5">
        <v>44033.19548663871</v>
      </c>
      <c r="C18" s="4">
        <v>24.0</v>
      </c>
      <c r="D18" s="4">
        <v>3.0</v>
      </c>
      <c r="E18" s="4" t="str">
        <f>VLOOKUP(Sheet1!$D18,rate,2,FALSE)</f>
        <v>Software malfunction</v>
      </c>
    </row>
    <row r="19" ht="14.25" customHeight="1">
      <c r="A19" s="4" t="s">
        <v>7</v>
      </c>
      <c r="B19" s="5">
        <v>44033.28165131639</v>
      </c>
      <c r="C19" s="4">
        <v>34.0</v>
      </c>
      <c r="D19" s="4">
        <v>3.0</v>
      </c>
      <c r="E19" s="4" t="str">
        <f>VLOOKUP(Sheet1!$D19,rate,2,FALSE)</f>
        <v>Software malfunction</v>
      </c>
      <c r="G19" s="7" t="s">
        <v>21</v>
      </c>
    </row>
    <row r="20" ht="14.25" customHeight="1">
      <c r="A20" s="4" t="s">
        <v>5</v>
      </c>
      <c r="B20" s="5">
        <v>44033.9985449507</v>
      </c>
      <c r="C20" s="4">
        <v>35.0</v>
      </c>
      <c r="D20" s="4">
        <v>2.0</v>
      </c>
      <c r="E20" s="4" t="str">
        <f>VLOOKUP(Sheet1!$D20,rate,2,FALSE)</f>
        <v>Hardware malfunction</v>
      </c>
      <c r="G20" s="7" t="s">
        <v>22</v>
      </c>
    </row>
    <row r="21" ht="14.25" customHeight="1">
      <c r="A21" s="4" t="s">
        <v>14</v>
      </c>
      <c r="B21" s="5">
        <v>44035.26371397368</v>
      </c>
      <c r="C21" s="4">
        <v>48.0</v>
      </c>
      <c r="D21" s="4">
        <v>3.0</v>
      </c>
      <c r="E21" s="4" t="str">
        <f>VLOOKUP(Sheet1!$D21,rate,2,FALSE)</f>
        <v>Software malfunction</v>
      </c>
    </row>
    <row r="22" ht="14.25" customHeight="1">
      <c r="A22" s="4" t="s">
        <v>8</v>
      </c>
      <c r="B22" s="5">
        <v>44036.248151746855</v>
      </c>
      <c r="C22" s="4">
        <v>24.0</v>
      </c>
      <c r="D22" s="4">
        <v>2.0</v>
      </c>
      <c r="E22" s="4" t="str">
        <f>VLOOKUP(Sheet1!$D22,rate,2,FALSE)</f>
        <v>Hardware malfunction</v>
      </c>
    </row>
    <row r="23" ht="14.25" customHeight="1">
      <c r="A23" s="4" t="s">
        <v>5</v>
      </c>
      <c r="B23" s="5">
        <v>44040.23923424831</v>
      </c>
      <c r="C23" s="4">
        <v>24.0</v>
      </c>
      <c r="D23" s="4">
        <v>3.0</v>
      </c>
      <c r="E23" s="4" t="str">
        <f>VLOOKUP(Sheet1!$D23,rate,2,FALSE)</f>
        <v>Software malfunction</v>
      </c>
    </row>
    <row r="24" ht="14.25" customHeight="1">
      <c r="A24" s="4" t="s">
        <v>5</v>
      </c>
      <c r="B24" s="5">
        <v>44040.777621756286</v>
      </c>
      <c r="C24" s="4">
        <v>23.0</v>
      </c>
      <c r="D24" s="4">
        <v>2.0</v>
      </c>
      <c r="E24" s="4" t="str">
        <f>VLOOKUP(Sheet1!$D24,rate,2,FALSE)</f>
        <v>Hardware malfunction</v>
      </c>
    </row>
    <row r="25" ht="14.25" customHeight="1">
      <c r="A25" s="4" t="s">
        <v>10</v>
      </c>
      <c r="B25" s="5">
        <v>44040.86011042635</v>
      </c>
      <c r="C25" s="4">
        <v>13.0</v>
      </c>
      <c r="D25" s="4">
        <v>2.0</v>
      </c>
      <c r="E25" s="4" t="str">
        <f>VLOOKUP(Sheet1!$D25,rate,2,FALSE)</f>
        <v>Hardware malfunction</v>
      </c>
    </row>
    <row r="26" ht="14.25" customHeight="1">
      <c r="A26" s="4" t="s">
        <v>8</v>
      </c>
      <c r="B26" s="5">
        <v>44042.20277777778</v>
      </c>
      <c r="C26" s="4">
        <v>32.0</v>
      </c>
      <c r="D26" s="4">
        <v>1.0</v>
      </c>
      <c r="E26" s="4" t="str">
        <f>VLOOKUP(Sheet1!$D26,rate,2,FALSE)</f>
        <v>System reset required</v>
      </c>
    </row>
    <row r="27" ht="14.25" customHeight="1">
      <c r="B27" s="22"/>
    </row>
    <row r="28" ht="14.25" customHeight="1"/>
    <row r="29" ht="14.25" customHeight="1">
      <c r="B29" s="7" t="s">
        <v>23</v>
      </c>
    </row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dataValidations>
    <dataValidation type="list" allowBlank="1" showErrorMessage="1" sqref="K9">
      <formula1>$A$2:$A$26</formula1>
    </dataValidation>
    <dataValidation type="list" allowBlank="1" showErrorMessage="1" sqref="K14">
      <formula1>$G$4:$G$6</formula1>
    </dataValidation>
  </dataValidations>
  <printOptions/>
  <pageMargins bottom="0.75" footer="0.0" header="0.0" left="0.7" right="0.7" top="0.75"/>
  <pageSetup orientation="portrait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11.14"/>
    <col customWidth="1" min="2" max="2" width="20.29"/>
    <col customWidth="1" min="3" max="3" width="25.57"/>
    <col customWidth="1" min="4" max="26" width="8.71"/>
  </cols>
  <sheetData>
    <row r="1" ht="14.25" customHeight="1">
      <c r="A1" s="7" t="s">
        <v>0</v>
      </c>
      <c r="B1" s="7" t="s">
        <v>1</v>
      </c>
      <c r="C1" s="7" t="s">
        <v>2</v>
      </c>
      <c r="D1" s="7" t="s">
        <v>3</v>
      </c>
    </row>
    <row r="2" ht="14.25" customHeight="1">
      <c r="A2" s="7" t="s">
        <v>5</v>
      </c>
      <c r="B2" s="22">
        <v>44013.610607480805</v>
      </c>
      <c r="C2" s="7">
        <v>31.0</v>
      </c>
      <c r="D2" s="7">
        <v>3.0</v>
      </c>
      <c r="L2" s="23" t="s">
        <v>13</v>
      </c>
    </row>
    <row r="3" ht="14.25" customHeight="1">
      <c r="A3" s="7" t="s">
        <v>7</v>
      </c>
      <c r="B3" s="22">
        <v>44013.697030848234</v>
      </c>
      <c r="C3" s="7">
        <v>28.0</v>
      </c>
      <c r="D3" s="7">
        <v>2.0</v>
      </c>
      <c r="L3" s="3" t="s">
        <v>11</v>
      </c>
    </row>
    <row r="4" ht="14.25" customHeight="1">
      <c r="A4" s="7" t="s">
        <v>8</v>
      </c>
      <c r="B4" s="22">
        <v>44014.727539334934</v>
      </c>
      <c r="C4" s="7">
        <v>36.0</v>
      </c>
      <c r="D4" s="7">
        <v>3.0</v>
      </c>
      <c r="L4" s="23" t="s">
        <v>13</v>
      </c>
    </row>
    <row r="5" ht="14.25" customHeight="1">
      <c r="A5" s="7" t="s">
        <v>10</v>
      </c>
      <c r="B5" s="22">
        <v>44015.75024991805</v>
      </c>
      <c r="C5" s="7">
        <v>71.0</v>
      </c>
      <c r="D5" s="7">
        <v>2.0</v>
      </c>
      <c r="L5" s="3" t="s">
        <v>11</v>
      </c>
    </row>
    <row r="6" ht="14.25" customHeight="1">
      <c r="A6" s="7" t="s">
        <v>12</v>
      </c>
      <c r="B6" s="22">
        <v>44016.42477991662</v>
      </c>
      <c r="C6" s="7">
        <v>23.0</v>
      </c>
      <c r="D6" s="7">
        <v>3.0</v>
      </c>
      <c r="L6" s="23" t="s">
        <v>13</v>
      </c>
    </row>
    <row r="7" ht="14.25" customHeight="1">
      <c r="A7" s="7" t="s">
        <v>14</v>
      </c>
      <c r="B7" s="22">
        <v>44018.130324607344</v>
      </c>
      <c r="C7" s="7">
        <v>46.0</v>
      </c>
      <c r="D7" s="7">
        <v>3.0</v>
      </c>
      <c r="L7" s="3" t="s">
        <v>13</v>
      </c>
    </row>
    <row r="8" ht="14.25" customHeight="1">
      <c r="A8" s="7" t="s">
        <v>12</v>
      </c>
      <c r="B8" s="22">
        <v>44018.35165038548</v>
      </c>
      <c r="C8" s="7">
        <v>35.0</v>
      </c>
      <c r="D8" s="7">
        <v>3.0</v>
      </c>
      <c r="L8" s="23" t="s">
        <v>13</v>
      </c>
    </row>
    <row r="9" ht="14.25" customHeight="1">
      <c r="A9" s="7" t="s">
        <v>7</v>
      </c>
      <c r="B9" s="22">
        <v>44019.30126058578</v>
      </c>
      <c r="C9" s="7">
        <v>18.0</v>
      </c>
      <c r="D9" s="7">
        <v>1.0</v>
      </c>
      <c r="L9" s="3" t="s">
        <v>9</v>
      </c>
    </row>
    <row r="10" ht="14.25" customHeight="1">
      <c r="A10" s="7" t="s">
        <v>14</v>
      </c>
      <c r="B10" s="22">
        <v>44023.14198511887</v>
      </c>
      <c r="C10" s="7">
        <v>9.0</v>
      </c>
      <c r="D10" s="7">
        <v>2.0</v>
      </c>
      <c r="L10" s="23" t="s">
        <v>11</v>
      </c>
    </row>
    <row r="11" ht="14.25" customHeight="1">
      <c r="A11" s="7" t="s">
        <v>10</v>
      </c>
      <c r="B11" s="22">
        <v>44024.28350360022</v>
      </c>
      <c r="C11" s="7">
        <v>41.0</v>
      </c>
      <c r="D11" s="7">
        <v>3.0</v>
      </c>
      <c r="L11" s="3" t="s">
        <v>13</v>
      </c>
    </row>
    <row r="12" ht="14.25" customHeight="1">
      <c r="A12" s="7" t="s">
        <v>8</v>
      </c>
      <c r="B12" s="22">
        <v>44025.812112474014</v>
      </c>
      <c r="C12" s="7">
        <v>2.0</v>
      </c>
      <c r="D12" s="7">
        <v>1.0</v>
      </c>
      <c r="L12" s="23" t="s">
        <v>9</v>
      </c>
    </row>
    <row r="13" ht="14.25" customHeight="1">
      <c r="A13" s="7" t="s">
        <v>7</v>
      </c>
      <c r="B13" s="22">
        <v>44025.816915379226</v>
      </c>
      <c r="C13" s="7">
        <v>15.0</v>
      </c>
      <c r="D13" s="7">
        <v>1.0</v>
      </c>
      <c r="L13" s="3" t="s">
        <v>9</v>
      </c>
    </row>
    <row r="14" ht="14.25" customHeight="1">
      <c r="A14" s="7" t="s">
        <v>5</v>
      </c>
      <c r="B14" s="22">
        <v>44025.993782231424</v>
      </c>
      <c r="C14" s="7">
        <v>6.0</v>
      </c>
      <c r="D14" s="7">
        <v>1.0</v>
      </c>
      <c r="L14" s="23" t="s">
        <v>9</v>
      </c>
    </row>
    <row r="15" ht="14.25" customHeight="1">
      <c r="A15" s="7" t="s">
        <v>8</v>
      </c>
      <c r="B15" s="22">
        <v>44026.24913912553</v>
      </c>
      <c r="C15" s="7">
        <v>22.0</v>
      </c>
      <c r="D15" s="7">
        <v>2.0</v>
      </c>
      <c r="L15" s="3" t="s">
        <v>11</v>
      </c>
    </row>
    <row r="16" ht="14.25" customHeight="1">
      <c r="A16" s="7" t="s">
        <v>12</v>
      </c>
      <c r="B16" s="22">
        <v>44026.3450875705</v>
      </c>
      <c r="C16" s="7">
        <v>15.0</v>
      </c>
      <c r="D16" s="7">
        <v>3.0</v>
      </c>
      <c r="L16" s="23" t="s">
        <v>13</v>
      </c>
    </row>
    <row r="17" ht="14.25" customHeight="1">
      <c r="A17" s="7" t="s">
        <v>12</v>
      </c>
      <c r="B17" s="22">
        <v>44029.07606533591</v>
      </c>
      <c r="C17" s="7">
        <v>26.0</v>
      </c>
      <c r="D17" s="7">
        <v>2.0</v>
      </c>
      <c r="L17" s="3" t="s">
        <v>11</v>
      </c>
    </row>
    <row r="18" ht="14.25" customHeight="1">
      <c r="A18" s="7" t="s">
        <v>8</v>
      </c>
      <c r="B18" s="22">
        <v>44033.19548663871</v>
      </c>
      <c r="C18" s="7">
        <v>24.0</v>
      </c>
      <c r="D18" s="7">
        <v>3.0</v>
      </c>
      <c r="L18" s="23" t="s">
        <v>13</v>
      </c>
    </row>
    <row r="19" ht="14.25" customHeight="1">
      <c r="A19" s="7" t="s">
        <v>7</v>
      </c>
      <c r="B19" s="22">
        <v>44033.28165131639</v>
      </c>
      <c r="C19" s="7">
        <v>34.0</v>
      </c>
      <c r="D19" s="7">
        <v>3.0</v>
      </c>
      <c r="L19" s="3" t="s">
        <v>13</v>
      </c>
    </row>
    <row r="20" ht="14.25" customHeight="1">
      <c r="A20" s="7" t="s">
        <v>5</v>
      </c>
      <c r="B20" s="22">
        <v>44033.9985449507</v>
      </c>
      <c r="C20" s="7">
        <v>35.0</v>
      </c>
      <c r="D20" s="7">
        <v>2.0</v>
      </c>
      <c r="L20" s="23" t="s">
        <v>11</v>
      </c>
    </row>
    <row r="21" ht="14.25" customHeight="1">
      <c r="A21" s="7" t="s">
        <v>14</v>
      </c>
      <c r="B21" s="22">
        <v>44035.26371397368</v>
      </c>
      <c r="C21" s="7">
        <v>48.0</v>
      </c>
      <c r="D21" s="7">
        <v>3.0</v>
      </c>
      <c r="L21" s="3" t="s">
        <v>13</v>
      </c>
    </row>
    <row r="22" ht="14.25" customHeight="1">
      <c r="A22" s="7" t="s">
        <v>8</v>
      </c>
      <c r="B22" s="22">
        <v>44036.248151746855</v>
      </c>
      <c r="C22" s="7">
        <v>24.0</v>
      </c>
      <c r="D22" s="7">
        <v>2.0</v>
      </c>
      <c r="L22" s="23" t="s">
        <v>11</v>
      </c>
    </row>
    <row r="23" ht="14.25" customHeight="1">
      <c r="A23" s="7" t="s">
        <v>5</v>
      </c>
      <c r="B23" s="22">
        <v>44040.23923424831</v>
      </c>
      <c r="C23" s="7">
        <v>24.0</v>
      </c>
      <c r="D23" s="7">
        <v>3.0</v>
      </c>
      <c r="L23" s="3" t="s">
        <v>13</v>
      </c>
    </row>
    <row r="24" ht="14.25" customHeight="1">
      <c r="A24" s="7" t="s">
        <v>5</v>
      </c>
      <c r="B24" s="22">
        <v>44040.777621756286</v>
      </c>
      <c r="C24" s="7">
        <v>23.0</v>
      </c>
      <c r="D24" s="7">
        <v>2.0</v>
      </c>
      <c r="L24" s="23" t="s">
        <v>11</v>
      </c>
    </row>
    <row r="25" ht="14.25" customHeight="1">
      <c r="A25" s="7" t="s">
        <v>10</v>
      </c>
      <c r="B25" s="22">
        <v>44040.86011042635</v>
      </c>
      <c r="C25" s="7">
        <v>13.0</v>
      </c>
      <c r="D25" s="7">
        <v>2.0</v>
      </c>
      <c r="L25" s="3" t="s">
        <v>11</v>
      </c>
    </row>
    <row r="26" ht="14.25" customHeight="1">
      <c r="A26" s="7" t="s">
        <v>8</v>
      </c>
      <c r="B26" s="22">
        <v>44042.20277777778</v>
      </c>
      <c r="C26" s="7">
        <v>32.0</v>
      </c>
      <c r="D26" s="7">
        <v>1.0</v>
      </c>
      <c r="L26" s="23" t="s">
        <v>9</v>
      </c>
    </row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2020-02-16T19:28:11Z</dcterms:created>
  <dc:creator>Charlie Nuttelman</dc:creator>
</cp:coreProperties>
</file>